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intopal/Desktop/Master Lectures/Introduction to Business Analytics/Assestment2/"/>
    </mc:Choice>
  </mc:AlternateContent>
  <xr:revisionPtr revIDLastSave="0" documentId="13_ncr:1_{D2828962-2363-D745-9B3D-5A0857B88D39}" xr6:coauthVersionLast="47" xr6:coauthVersionMax="47" xr10:uidLastSave="{00000000-0000-0000-0000-000000000000}"/>
  <bookViews>
    <workbookView xWindow="1080" yWindow="760" windowWidth="28320" windowHeight="183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3" i="1"/>
  <c r="D46" i="1"/>
  <c r="E46" i="1"/>
  <c r="F46" i="1"/>
  <c r="G46" i="1"/>
  <c r="H46" i="1"/>
  <c r="I46" i="1"/>
  <c r="J46" i="1"/>
  <c r="K46" i="1"/>
  <c r="L46" i="1"/>
  <c r="C46" i="1"/>
</calcChain>
</file>

<file path=xl/sharedStrings.xml><?xml version="1.0" encoding="utf-8"?>
<sst xmlns="http://schemas.openxmlformats.org/spreadsheetml/2006/main" count="78" uniqueCount="65">
  <si>
    <t>City</t>
  </si>
  <si>
    <t>Rank</t>
  </si>
  <si>
    <t>Sunshine hours</t>
  </si>
  <si>
    <t>Cost of a bottle of water</t>
  </si>
  <si>
    <t>Obesity levels</t>
  </si>
  <si>
    <t>Life expectancy (years)</t>
  </si>
  <si>
    <t xml:space="preserve">Pollution(Index score) </t>
  </si>
  <si>
    <t>Annual avg. hours worked</t>
  </si>
  <si>
    <t>Happiness levels</t>
  </si>
  <si>
    <t>Outdoor activities</t>
  </si>
  <si>
    <t>Cost of monthly gym membership</t>
  </si>
  <si>
    <t>Amsterdam</t>
  </si>
  <si>
    <t>Sydney</t>
  </si>
  <si>
    <t>Vienna</t>
  </si>
  <si>
    <t>Stockholm</t>
  </si>
  <si>
    <t>Copenhagen</t>
  </si>
  <si>
    <t>Helsinki</t>
  </si>
  <si>
    <t>Fukuoka</t>
  </si>
  <si>
    <t>Berlin</t>
  </si>
  <si>
    <t>Barcelona</t>
  </si>
  <si>
    <t>Vancouver</t>
  </si>
  <si>
    <t>Melbourne</t>
  </si>
  <si>
    <t>Beijing</t>
  </si>
  <si>
    <t>Bangkok</t>
  </si>
  <si>
    <t>Buenos Aires</t>
  </si>
  <si>
    <t>Toronto</t>
  </si>
  <si>
    <t>Madrid</t>
  </si>
  <si>
    <t>Jakarta</t>
  </si>
  <si>
    <t>Seoul</t>
  </si>
  <si>
    <t>Frankfurt</t>
  </si>
  <si>
    <t>Geneva</t>
  </si>
  <si>
    <t>Tel Aviv</t>
  </si>
  <si>
    <t>Istanbul</t>
  </si>
  <si>
    <t>Cairo</t>
  </si>
  <si>
    <t>Taipei</t>
  </si>
  <si>
    <t>Los Angeles</t>
  </si>
  <si>
    <t>Mumbai</t>
  </si>
  <si>
    <t>Boston</t>
  </si>
  <si>
    <t>Dublin</t>
  </si>
  <si>
    <t>Tokyo</t>
  </si>
  <si>
    <t>Chicago</t>
  </si>
  <si>
    <t>Hong Kong</t>
  </si>
  <si>
    <t>Shanghai</t>
  </si>
  <si>
    <t>Brussels</t>
  </si>
  <si>
    <t>San Francisco</t>
  </si>
  <si>
    <t>Paris</t>
  </si>
  <si>
    <t>Sao Paulo</t>
  </si>
  <si>
    <t>Zurich</t>
  </si>
  <si>
    <t>London</t>
  </si>
  <si>
    <t>Johannesburg</t>
  </si>
  <si>
    <t>Milan</t>
  </si>
  <si>
    <t>Washington, D.C.</t>
  </si>
  <si>
    <t>New York</t>
  </si>
  <si>
    <t>Moscow</t>
  </si>
  <si>
    <t>Mexico City</t>
  </si>
  <si>
    <t xml:space="preserve">Mean </t>
  </si>
  <si>
    <t>Median</t>
  </si>
  <si>
    <t>Mean</t>
  </si>
  <si>
    <t>Min</t>
  </si>
  <si>
    <t>Max</t>
  </si>
  <si>
    <t xml:space="preserve">Paris </t>
  </si>
  <si>
    <t>Summart Statistics and Comparison</t>
  </si>
  <si>
    <t>Parameters</t>
  </si>
  <si>
    <t>Comparison With Average</t>
  </si>
  <si>
    <t>Number of takeaways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</si>
</sst>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9" fontId="0" fillId="0" borderId="12" xfId="42" applyFont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164" fontId="0" fillId="35" borderId="14" xfId="0" applyNumberFormat="1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6" fillId="36" borderId="17" xfId="0" applyFont="1" applyFill="1" applyBorder="1" applyAlignment="1">
      <alignment horizontal="center"/>
    </xf>
    <xf numFmtId="0" fontId="16" fillId="36" borderId="13" xfId="0" applyFont="1" applyFill="1" applyBorder="1" applyAlignment="1">
      <alignment horizontal="center"/>
    </xf>
    <xf numFmtId="0" fontId="16" fillId="36" borderId="18" xfId="0" applyFont="1" applyFill="1" applyBorder="1" applyAlignment="1">
      <alignment horizontal="center"/>
    </xf>
    <xf numFmtId="164" fontId="0" fillId="36" borderId="0" xfId="0" applyNumberFormat="1" applyFill="1" applyAlignment="1">
      <alignment horizontal="center"/>
    </xf>
    <xf numFmtId="0" fontId="0" fillId="36" borderId="0" xfId="0" applyFill="1" applyAlignment="1">
      <alignment horizontal="center"/>
    </xf>
    <xf numFmtId="2" fontId="0" fillId="36" borderId="0" xfId="0" applyNumberFormat="1" applyFill="1" applyAlignment="1">
      <alignment horizontal="center"/>
    </xf>
    <xf numFmtId="9" fontId="0" fillId="36" borderId="0" xfId="42" applyFont="1" applyFill="1" applyBorder="1" applyAlignment="1">
      <alignment horizontal="center"/>
    </xf>
    <xf numFmtId="10" fontId="0" fillId="36" borderId="0" xfId="0" applyNumberFormat="1" applyFill="1" applyAlignment="1">
      <alignment horizontal="center"/>
    </xf>
    <xf numFmtId="1" fontId="0" fillId="36" borderId="0" xfId="0" applyNumberFormat="1" applyFill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0" borderId="19" xfId="0" applyBorder="1"/>
    <xf numFmtId="0" fontId="19" fillId="0" borderId="2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6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zoomScale="75" workbookViewId="0">
      <selection activeCell="M23" sqref="M23"/>
    </sheetView>
  </sheetViews>
  <sheetFormatPr baseColWidth="10" defaultColWidth="8.83203125" defaultRowHeight="15" x14ac:dyDescent="0.2"/>
  <cols>
    <col min="1" max="1" width="16.5" style="1" customWidth="1"/>
    <col min="2" max="2" width="10.5" style="1" customWidth="1"/>
    <col min="3" max="3" width="15.33203125" style="1" customWidth="1"/>
    <col min="4" max="4" width="23.1640625" style="1" customWidth="1"/>
    <col min="5" max="5" width="18.5" style="1" customWidth="1"/>
    <col min="6" max="6" width="19.5" style="1" customWidth="1"/>
    <col min="7" max="7" width="19.1640625" style="1" customWidth="1"/>
    <col min="8" max="8" width="19.83203125" style="1" customWidth="1"/>
    <col min="9" max="9" width="18.5" style="1" customWidth="1"/>
    <col min="10" max="10" width="14.6640625" style="8" customWidth="1"/>
    <col min="11" max="11" width="22.1640625" style="1" customWidth="1"/>
    <col min="12" max="12" width="27.33203125" style="1" bestFit="1" customWidth="1"/>
    <col min="13" max="15" width="8.83203125" style="1"/>
    <col min="16" max="16" width="27.33203125" style="1" bestFit="1" customWidth="1"/>
    <col min="17" max="17" width="10.83203125" style="1" customWidth="1"/>
    <col min="18" max="18" width="13.33203125" style="1" bestFit="1" customWidth="1"/>
    <col min="19" max="19" width="20.1640625" style="1" bestFit="1" customWidth="1"/>
    <col min="20" max="20" width="12.6640625" style="1" bestFit="1" customWidth="1"/>
    <col min="21" max="21" width="19" style="1" bestFit="1" customWidth="1"/>
    <col min="22" max="22" width="25.1640625" style="1" customWidth="1"/>
    <col min="23" max="23" width="22" style="1" bestFit="1" customWidth="1"/>
    <col min="24" max="24" width="14.1640625" style="1" bestFit="1" customWidth="1"/>
    <col min="25" max="25" width="15.6640625" style="1" bestFit="1" customWidth="1"/>
    <col min="26" max="26" width="18.5" style="1" bestFit="1" customWidth="1"/>
    <col min="27" max="27" width="27.83203125" style="1" bestFit="1" customWidth="1"/>
    <col min="28" max="16384" width="8.83203125" style="1"/>
  </cols>
  <sheetData>
    <row r="1" spans="1:22" s="3" customFormat="1" ht="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64</v>
      </c>
      <c r="L1" s="3" t="s">
        <v>10</v>
      </c>
      <c r="P1" s="29" t="s">
        <v>61</v>
      </c>
      <c r="Q1" s="30"/>
      <c r="R1" s="30"/>
      <c r="S1" s="30"/>
      <c r="T1" s="30"/>
      <c r="U1" s="30"/>
      <c r="V1" s="31"/>
    </row>
    <row r="2" spans="1:22" x14ac:dyDescent="0.2">
      <c r="A2" s="1" t="s">
        <v>11</v>
      </c>
      <c r="B2" s="1">
        <v>1</v>
      </c>
      <c r="C2" s="1">
        <v>1858</v>
      </c>
      <c r="D2" s="1">
        <v>1.92</v>
      </c>
      <c r="E2" s="2">
        <v>0.20399999999999999</v>
      </c>
      <c r="F2" s="1">
        <v>81.2</v>
      </c>
      <c r="G2" s="1">
        <v>30.93</v>
      </c>
      <c r="H2" s="1">
        <v>1434</v>
      </c>
      <c r="I2" s="1">
        <v>7.44</v>
      </c>
      <c r="J2" s="8">
        <v>422</v>
      </c>
      <c r="K2" s="1">
        <v>1048</v>
      </c>
      <c r="L2" s="1">
        <v>34.9</v>
      </c>
      <c r="P2" s="17" t="s">
        <v>62</v>
      </c>
      <c r="Q2" s="18" t="s">
        <v>55</v>
      </c>
      <c r="R2" s="18" t="s">
        <v>56</v>
      </c>
      <c r="S2" s="18" t="s">
        <v>58</v>
      </c>
      <c r="T2" s="18" t="s">
        <v>59</v>
      </c>
      <c r="U2" s="18" t="s">
        <v>60</v>
      </c>
      <c r="V2" s="13" t="s">
        <v>63</v>
      </c>
    </row>
    <row r="3" spans="1:22" ht="30" customHeight="1" x14ac:dyDescent="0.2">
      <c r="A3" s="1" t="s">
        <v>12</v>
      </c>
      <c r="B3" s="1">
        <v>2</v>
      </c>
      <c r="C3" s="1">
        <v>2636</v>
      </c>
      <c r="D3" s="1">
        <v>1.48</v>
      </c>
      <c r="E3" s="2">
        <v>0.28999999999999998</v>
      </c>
      <c r="F3" s="1">
        <v>82.1</v>
      </c>
      <c r="G3" s="1">
        <v>26.86</v>
      </c>
      <c r="H3" s="1">
        <v>1712</v>
      </c>
      <c r="I3" s="1">
        <v>7.22</v>
      </c>
      <c r="J3" s="8">
        <v>406</v>
      </c>
      <c r="K3" s="1">
        <v>1103</v>
      </c>
      <c r="L3" s="1">
        <v>41.66</v>
      </c>
      <c r="P3" s="19" t="s">
        <v>2</v>
      </c>
      <c r="Q3" s="20">
        <v>2245.8604651162791</v>
      </c>
      <c r="R3" s="21">
        <v>2066</v>
      </c>
      <c r="S3" s="21">
        <v>1405</v>
      </c>
      <c r="T3" s="21">
        <v>3542</v>
      </c>
      <c r="U3" s="21">
        <v>1662</v>
      </c>
      <c r="V3" s="14">
        <f>U3-Q3</f>
        <v>-583.8604651162791</v>
      </c>
    </row>
    <row r="4" spans="1:22" ht="24" customHeight="1" x14ac:dyDescent="0.2">
      <c r="A4" s="1" t="s">
        <v>13</v>
      </c>
      <c r="B4" s="1">
        <v>3</v>
      </c>
      <c r="C4" s="1">
        <v>1884</v>
      </c>
      <c r="D4" s="1">
        <v>1.94</v>
      </c>
      <c r="E4" s="2">
        <v>0.20100000000000001</v>
      </c>
      <c r="F4" s="1">
        <v>81</v>
      </c>
      <c r="G4" s="1">
        <v>17.329999999999998</v>
      </c>
      <c r="H4" s="1">
        <v>1501</v>
      </c>
      <c r="I4" s="1">
        <v>7.29</v>
      </c>
      <c r="J4" s="8">
        <v>132</v>
      </c>
      <c r="K4" s="1">
        <v>1008</v>
      </c>
      <c r="L4" s="1">
        <v>25.74</v>
      </c>
      <c r="P4" s="19" t="s">
        <v>3</v>
      </c>
      <c r="Q4" s="22">
        <v>1.1734090909090911</v>
      </c>
      <c r="R4" s="21">
        <v>1.1949999999999998</v>
      </c>
      <c r="S4" s="21">
        <v>0.15</v>
      </c>
      <c r="T4" s="21">
        <v>3.2</v>
      </c>
      <c r="U4" s="21">
        <v>1.95</v>
      </c>
      <c r="V4" s="14">
        <f t="shared" ref="V4:V12" si="0">U4-Q4</f>
        <v>0.77659090909090889</v>
      </c>
    </row>
    <row r="5" spans="1:22" ht="24" customHeight="1" x14ac:dyDescent="0.2">
      <c r="A5" s="1" t="s">
        <v>14</v>
      </c>
      <c r="B5" s="1">
        <v>4</v>
      </c>
      <c r="C5" s="1">
        <v>1821</v>
      </c>
      <c r="D5" s="1">
        <v>1.72</v>
      </c>
      <c r="E5" s="2">
        <v>0.20599999999999999</v>
      </c>
      <c r="F5" s="1">
        <v>81.8</v>
      </c>
      <c r="G5" s="1">
        <v>19.63</v>
      </c>
      <c r="H5" s="1">
        <v>1452</v>
      </c>
      <c r="I5" s="1">
        <v>7.35</v>
      </c>
      <c r="J5" s="8">
        <v>129</v>
      </c>
      <c r="K5" s="1">
        <v>598</v>
      </c>
      <c r="L5" s="1">
        <v>37.31</v>
      </c>
      <c r="P5" s="19" t="s">
        <v>4</v>
      </c>
      <c r="Q5" s="23">
        <v>0.21925</v>
      </c>
      <c r="R5" s="23">
        <v>0.223</v>
      </c>
      <c r="S5" s="23">
        <v>3.9E-2</v>
      </c>
      <c r="T5" s="23">
        <v>0.36199999999999999</v>
      </c>
      <c r="U5" s="24">
        <v>0.216</v>
      </c>
      <c r="V5" s="14">
        <f t="shared" si="0"/>
        <v>-3.2500000000000029E-3</v>
      </c>
    </row>
    <row r="6" spans="1:22" ht="29" customHeight="1" x14ac:dyDescent="0.2">
      <c r="A6" s="1" t="s">
        <v>15</v>
      </c>
      <c r="B6" s="1">
        <v>5</v>
      </c>
      <c r="C6" s="1">
        <v>1630</v>
      </c>
      <c r="D6" s="1">
        <v>2.19</v>
      </c>
      <c r="E6" s="2">
        <v>0.19700000000000001</v>
      </c>
      <c r="F6" s="1">
        <v>79.8</v>
      </c>
      <c r="G6" s="1">
        <v>21.24</v>
      </c>
      <c r="H6" s="1">
        <v>1380</v>
      </c>
      <c r="I6" s="1">
        <v>7.64</v>
      </c>
      <c r="J6" s="8">
        <v>154</v>
      </c>
      <c r="K6" s="1">
        <v>523</v>
      </c>
      <c r="L6" s="1">
        <v>32.53</v>
      </c>
      <c r="P6" s="19" t="s">
        <v>5</v>
      </c>
      <c r="Q6" s="22">
        <v>78.17500000000004</v>
      </c>
      <c r="R6" s="21">
        <v>80.400000000000006</v>
      </c>
      <c r="S6" s="21">
        <v>56.3</v>
      </c>
      <c r="T6" s="21">
        <v>83.2</v>
      </c>
      <c r="U6" s="21">
        <v>81.8</v>
      </c>
      <c r="V6" s="14">
        <f t="shared" si="0"/>
        <v>3.6249999999999574</v>
      </c>
    </row>
    <row r="7" spans="1:22" ht="27" customHeight="1" x14ac:dyDescent="0.2">
      <c r="A7" s="1" t="s">
        <v>16</v>
      </c>
      <c r="B7" s="1">
        <v>6</v>
      </c>
      <c r="C7" s="1">
        <v>1662</v>
      </c>
      <c r="D7" s="1">
        <v>1.6</v>
      </c>
      <c r="E7" s="2">
        <v>0.222</v>
      </c>
      <c r="F7" s="1">
        <v>80.400000000000006</v>
      </c>
      <c r="G7" s="1">
        <v>13.08</v>
      </c>
      <c r="H7" s="1">
        <v>1540</v>
      </c>
      <c r="I7" s="1">
        <v>7.8</v>
      </c>
      <c r="J7" s="8">
        <v>113</v>
      </c>
      <c r="K7" s="1">
        <v>309</v>
      </c>
      <c r="L7" s="1">
        <v>35.229999999999997</v>
      </c>
      <c r="P7" s="19" t="s">
        <v>6</v>
      </c>
      <c r="Q7" s="22">
        <v>51.122325581395344</v>
      </c>
      <c r="R7" s="21">
        <v>52.64</v>
      </c>
      <c r="S7" s="21">
        <v>13.08</v>
      </c>
      <c r="T7" s="21">
        <v>91.74</v>
      </c>
      <c r="U7" s="21">
        <v>65.099999999999994</v>
      </c>
      <c r="V7" s="14">
        <f t="shared" si="0"/>
        <v>13.97767441860465</v>
      </c>
    </row>
    <row r="8" spans="1:22" ht="25" customHeight="1" x14ac:dyDescent="0.2">
      <c r="A8" s="1" t="s">
        <v>17</v>
      </c>
      <c r="B8" s="1">
        <v>7</v>
      </c>
      <c r="C8" s="1">
        <v>2769</v>
      </c>
      <c r="D8" s="1">
        <v>0.78</v>
      </c>
      <c r="E8" s="2">
        <v>4.2999999999999997E-2</v>
      </c>
      <c r="F8" s="1">
        <v>83.2</v>
      </c>
      <c r="H8" s="1">
        <v>1644</v>
      </c>
      <c r="I8" s="1">
        <v>5.87</v>
      </c>
      <c r="J8" s="8">
        <v>35</v>
      </c>
      <c r="K8" s="1">
        <v>539</v>
      </c>
      <c r="L8" s="1">
        <v>55.87</v>
      </c>
      <c r="P8" s="19" t="s">
        <v>7</v>
      </c>
      <c r="Q8" s="25">
        <v>1672.909090909091</v>
      </c>
      <c r="R8" s="21">
        <v>1686</v>
      </c>
      <c r="S8" s="21">
        <v>1380</v>
      </c>
      <c r="T8" s="21">
        <v>2137</v>
      </c>
      <c r="U8" s="21">
        <v>1505</v>
      </c>
      <c r="V8" s="14">
        <f t="shared" si="0"/>
        <v>-167.90909090909099</v>
      </c>
    </row>
    <row r="9" spans="1:22" ht="20" customHeight="1" x14ac:dyDescent="0.2">
      <c r="A9" s="1" t="s">
        <v>18</v>
      </c>
      <c r="B9" s="1">
        <v>8</v>
      </c>
      <c r="C9" s="1">
        <v>1626</v>
      </c>
      <c r="D9" s="1">
        <v>1.55</v>
      </c>
      <c r="E9" s="2">
        <v>0.223</v>
      </c>
      <c r="F9" s="1">
        <v>80.599999999999994</v>
      </c>
      <c r="G9" s="1">
        <v>39.409999999999997</v>
      </c>
      <c r="H9" s="1">
        <v>1386</v>
      </c>
      <c r="I9" s="1">
        <v>7.07</v>
      </c>
      <c r="J9" s="8">
        <v>254</v>
      </c>
      <c r="K9" s="1">
        <v>1729</v>
      </c>
      <c r="L9" s="1">
        <v>26.11</v>
      </c>
      <c r="P9" s="19" t="s">
        <v>8</v>
      </c>
      <c r="Q9" s="22">
        <v>6.4350000000000014</v>
      </c>
      <c r="R9" s="21">
        <v>6.9</v>
      </c>
      <c r="S9" s="21">
        <v>3.57</v>
      </c>
      <c r="T9" s="21">
        <v>7.8</v>
      </c>
      <c r="U9" s="21">
        <v>6.66</v>
      </c>
      <c r="V9" s="14">
        <f t="shared" si="0"/>
        <v>0.22499999999999876</v>
      </c>
    </row>
    <row r="10" spans="1:22" x14ac:dyDescent="0.2">
      <c r="A10" s="1" t="s">
        <v>19</v>
      </c>
      <c r="B10" s="1">
        <v>9</v>
      </c>
      <c r="C10" s="1">
        <v>2591</v>
      </c>
      <c r="D10" s="1">
        <v>1.19</v>
      </c>
      <c r="E10" s="2">
        <v>0.23799999999999999</v>
      </c>
      <c r="F10" s="1">
        <v>82.2</v>
      </c>
      <c r="G10" s="1">
        <v>65.19</v>
      </c>
      <c r="H10" s="1">
        <v>1686</v>
      </c>
      <c r="I10" s="1">
        <v>6.4</v>
      </c>
      <c r="J10" s="8">
        <v>585</v>
      </c>
      <c r="K10" s="1">
        <v>2344</v>
      </c>
      <c r="L10" s="1">
        <v>37.799999999999997</v>
      </c>
      <c r="P10" s="19" t="s">
        <v>9</v>
      </c>
      <c r="Q10" s="20">
        <v>213.97727272727272</v>
      </c>
      <c r="R10" s="21">
        <v>189.5</v>
      </c>
      <c r="S10" s="21">
        <v>23</v>
      </c>
      <c r="T10" s="21">
        <v>585</v>
      </c>
      <c r="U10" s="21">
        <v>331</v>
      </c>
      <c r="V10" s="14">
        <f t="shared" si="0"/>
        <v>117.02272727272728</v>
      </c>
    </row>
    <row r="11" spans="1:22" ht="20" customHeight="1" x14ac:dyDescent="0.2">
      <c r="A11" s="1" t="s">
        <v>20</v>
      </c>
      <c r="B11" s="1">
        <v>10</v>
      </c>
      <c r="C11" s="1">
        <v>1938</v>
      </c>
      <c r="D11" s="1">
        <v>1.08</v>
      </c>
      <c r="E11" s="2">
        <v>0.29399999999999998</v>
      </c>
      <c r="F11" s="1">
        <v>81.7</v>
      </c>
      <c r="G11" s="1">
        <v>24.26</v>
      </c>
      <c r="H11" s="1">
        <v>1670</v>
      </c>
      <c r="I11" s="1">
        <v>7.23</v>
      </c>
      <c r="J11" s="8">
        <v>218</v>
      </c>
      <c r="K11" s="1">
        <v>788</v>
      </c>
      <c r="L11" s="1">
        <v>31.04</v>
      </c>
      <c r="P11" s="19" t="s">
        <v>64</v>
      </c>
      <c r="Q11" s="25">
        <v>1443.1136363636363</v>
      </c>
      <c r="R11" s="21">
        <v>998</v>
      </c>
      <c r="S11" s="21">
        <v>250</v>
      </c>
      <c r="T11" s="21">
        <v>6417</v>
      </c>
      <c r="U11" s="21">
        <v>4363</v>
      </c>
      <c r="V11" s="14">
        <f t="shared" si="0"/>
        <v>2919.886363636364</v>
      </c>
    </row>
    <row r="12" spans="1:22" ht="28" customHeight="1" x14ac:dyDescent="0.2">
      <c r="A12" s="1" t="s">
        <v>21</v>
      </c>
      <c r="B12" s="1">
        <v>11</v>
      </c>
      <c r="C12" s="1">
        <v>2363</v>
      </c>
      <c r="D12" s="1">
        <v>1.57</v>
      </c>
      <c r="E12" s="2">
        <v>0.28999999999999998</v>
      </c>
      <c r="F12" s="1">
        <v>82.1</v>
      </c>
      <c r="G12" s="1">
        <v>25.9</v>
      </c>
      <c r="H12" s="1">
        <v>1712</v>
      </c>
      <c r="I12" s="1">
        <v>7.22</v>
      </c>
      <c r="J12" s="8">
        <v>243</v>
      </c>
      <c r="K12" s="1">
        <v>813</v>
      </c>
      <c r="L12" s="1">
        <v>36.89</v>
      </c>
      <c r="P12" s="17" t="s">
        <v>10</v>
      </c>
      <c r="Q12" s="26">
        <v>40.420000000000009</v>
      </c>
      <c r="R12" s="26">
        <v>37.33</v>
      </c>
      <c r="S12" s="26">
        <v>16.07</v>
      </c>
      <c r="T12" s="26">
        <v>73.11</v>
      </c>
      <c r="U12" s="26">
        <v>35.93</v>
      </c>
      <c r="V12" s="14">
        <f t="shared" si="0"/>
        <v>-4.4900000000000091</v>
      </c>
    </row>
    <row r="13" spans="1:22" x14ac:dyDescent="0.2">
      <c r="A13" s="1" t="s">
        <v>22</v>
      </c>
      <c r="B13" s="1">
        <v>12</v>
      </c>
      <c r="C13" s="1">
        <v>2671</v>
      </c>
      <c r="D13" s="1">
        <v>0.26</v>
      </c>
      <c r="E13" s="2">
        <v>6.2E-2</v>
      </c>
      <c r="F13" s="1">
        <v>75.400000000000006</v>
      </c>
      <c r="G13" s="1">
        <v>85.43</v>
      </c>
      <c r="I13" s="1">
        <v>5.12</v>
      </c>
      <c r="J13" s="8">
        <v>223</v>
      </c>
      <c r="K13" s="1">
        <v>261</v>
      </c>
      <c r="L13" s="1">
        <v>38.619999999999997</v>
      </c>
      <c r="P13" s="16"/>
      <c r="Q13" s="16"/>
      <c r="R13" s="16"/>
      <c r="S13" s="15"/>
      <c r="T13" s="15"/>
      <c r="U13" s="15"/>
      <c r="V13" s="15"/>
    </row>
    <row r="14" spans="1:22" x14ac:dyDescent="0.2">
      <c r="A14" s="1" t="s">
        <v>23</v>
      </c>
      <c r="B14" s="1">
        <v>13</v>
      </c>
      <c r="C14" s="1">
        <v>2624</v>
      </c>
      <c r="D14" s="1">
        <v>0.22</v>
      </c>
      <c r="E14" s="2">
        <v>0.1</v>
      </c>
      <c r="F14" s="1">
        <v>74.099999999999994</v>
      </c>
      <c r="G14" s="1">
        <v>76.64</v>
      </c>
      <c r="I14" s="1">
        <v>5.99</v>
      </c>
      <c r="J14" s="8">
        <v>377</v>
      </c>
      <c r="K14" s="1">
        <v>1796</v>
      </c>
      <c r="L14" s="1">
        <v>50.03</v>
      </c>
    </row>
    <row r="15" spans="1:22" x14ac:dyDescent="0.2">
      <c r="A15" s="1" t="s">
        <v>24</v>
      </c>
      <c r="B15" s="1">
        <v>14</v>
      </c>
      <c r="C15" s="1">
        <v>2525</v>
      </c>
      <c r="D15" s="1">
        <v>0.56999999999999995</v>
      </c>
      <c r="E15" s="2">
        <v>0.28299999999999997</v>
      </c>
      <c r="F15" s="1">
        <v>75.900000000000006</v>
      </c>
      <c r="G15" s="1">
        <v>52.64</v>
      </c>
      <c r="I15" s="1">
        <v>5.97</v>
      </c>
      <c r="J15" s="8">
        <v>246</v>
      </c>
      <c r="K15" s="1">
        <v>1435</v>
      </c>
      <c r="L15" s="1">
        <v>22.45</v>
      </c>
    </row>
    <row r="16" spans="1:22" ht="16" thickBot="1" x14ac:dyDescent="0.25">
      <c r="A16" s="1" t="s">
        <v>25</v>
      </c>
      <c r="B16" s="1">
        <v>15</v>
      </c>
      <c r="C16" s="1">
        <v>2066</v>
      </c>
      <c r="D16" s="1">
        <v>1.0900000000000001</v>
      </c>
      <c r="E16" s="2">
        <v>0.29399999999999998</v>
      </c>
      <c r="F16" s="1">
        <v>81.7</v>
      </c>
      <c r="G16" s="1">
        <v>37.83</v>
      </c>
      <c r="H16" s="1">
        <v>1670</v>
      </c>
      <c r="I16" s="1">
        <v>7.23</v>
      </c>
      <c r="J16" s="8">
        <v>174</v>
      </c>
      <c r="K16" s="1">
        <v>1656</v>
      </c>
      <c r="L16" s="1">
        <v>32.64</v>
      </c>
    </row>
    <row r="17" spans="1:27" x14ac:dyDescent="0.2">
      <c r="A17" s="1" t="s">
        <v>26</v>
      </c>
      <c r="B17" s="1">
        <v>16</v>
      </c>
      <c r="C17" s="1">
        <v>2769</v>
      </c>
      <c r="D17" s="1">
        <v>1.3</v>
      </c>
      <c r="E17" s="2">
        <v>0.23799999999999999</v>
      </c>
      <c r="F17" s="1">
        <v>82.2</v>
      </c>
      <c r="G17" s="1">
        <v>52.68</v>
      </c>
      <c r="H17" s="1">
        <v>1686</v>
      </c>
      <c r="I17" s="1">
        <v>6.4</v>
      </c>
      <c r="J17" s="8">
        <v>216</v>
      </c>
      <c r="K17" s="1">
        <v>2491</v>
      </c>
      <c r="L17" s="1">
        <v>34.54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x14ac:dyDescent="0.2">
      <c r="A18" s="1" t="s">
        <v>27</v>
      </c>
      <c r="B18" s="1">
        <v>17</v>
      </c>
      <c r="C18" s="1">
        <v>2983</v>
      </c>
      <c r="D18" s="1">
        <v>0.21</v>
      </c>
      <c r="E18" s="2">
        <v>6.9000000000000006E-2</v>
      </c>
      <c r="F18" s="1">
        <v>68.5</v>
      </c>
      <c r="G18" s="1">
        <v>84.39</v>
      </c>
      <c r="I18" s="1">
        <v>5.28</v>
      </c>
      <c r="J18" s="8">
        <v>114</v>
      </c>
      <c r="K18" s="1">
        <v>833</v>
      </c>
      <c r="L18" s="1">
        <v>29.94</v>
      </c>
      <c r="P18"/>
      <c r="Q18"/>
      <c r="R18"/>
      <c r="S18"/>
      <c r="T18"/>
      <c r="U18"/>
      <c r="V18"/>
      <c r="W18"/>
      <c r="X18"/>
      <c r="Y18"/>
      <c r="Z18"/>
      <c r="AA18"/>
    </row>
    <row r="19" spans="1:27" x14ac:dyDescent="0.2">
      <c r="A19" s="1" t="s">
        <v>28</v>
      </c>
      <c r="B19" s="1">
        <v>18</v>
      </c>
      <c r="C19" s="1">
        <v>2066</v>
      </c>
      <c r="D19" s="1">
        <v>0.59</v>
      </c>
      <c r="E19" s="2">
        <v>4.7E-2</v>
      </c>
      <c r="F19" s="1">
        <v>81.3</v>
      </c>
      <c r="G19" s="1">
        <v>57.82</v>
      </c>
      <c r="H19" s="1">
        <v>1967</v>
      </c>
      <c r="I19" s="1">
        <v>5.87</v>
      </c>
      <c r="J19" s="8">
        <v>144</v>
      </c>
      <c r="K19" s="1">
        <v>389</v>
      </c>
      <c r="L19" s="1">
        <v>43.03</v>
      </c>
      <c r="P19"/>
      <c r="Q19"/>
      <c r="R19"/>
      <c r="S19"/>
      <c r="T19"/>
      <c r="U19"/>
      <c r="V19"/>
      <c r="W19"/>
      <c r="X19"/>
      <c r="Y19"/>
      <c r="Z19"/>
      <c r="AA19"/>
    </row>
    <row r="20" spans="1:27" x14ac:dyDescent="0.2">
      <c r="A20" s="1" t="s">
        <v>29</v>
      </c>
      <c r="B20" s="1">
        <v>19</v>
      </c>
      <c r="C20" s="1">
        <v>1662</v>
      </c>
      <c r="D20" s="1">
        <v>1.95</v>
      </c>
      <c r="E20" s="2">
        <v>0.223</v>
      </c>
      <c r="F20" s="1">
        <v>80.599999999999994</v>
      </c>
      <c r="G20" s="1">
        <v>37.78</v>
      </c>
      <c r="H20" s="1">
        <v>1386</v>
      </c>
      <c r="I20" s="1">
        <v>7.07</v>
      </c>
      <c r="J20" s="8">
        <v>23</v>
      </c>
      <c r="K20" s="1">
        <v>551</v>
      </c>
      <c r="L20" s="1">
        <v>39.01</v>
      </c>
      <c r="P20"/>
      <c r="Q20"/>
      <c r="R20"/>
      <c r="S20"/>
      <c r="T20"/>
      <c r="U20"/>
      <c r="V20"/>
      <c r="W20"/>
      <c r="X20"/>
      <c r="Y20"/>
      <c r="Z20"/>
      <c r="AA20"/>
    </row>
    <row r="21" spans="1:27" x14ac:dyDescent="0.2">
      <c r="A21" s="1" t="s">
        <v>30</v>
      </c>
      <c r="B21" s="1">
        <v>20</v>
      </c>
      <c r="D21" s="1">
        <v>2.62</v>
      </c>
      <c r="E21" s="2">
        <v>0.19500000000000001</v>
      </c>
      <c r="F21" s="1">
        <v>82.6</v>
      </c>
      <c r="G21" s="1">
        <v>27.25</v>
      </c>
      <c r="H21" s="1">
        <v>1557</v>
      </c>
      <c r="I21" s="1">
        <v>7.56</v>
      </c>
      <c r="J21" s="8">
        <v>44</v>
      </c>
      <c r="K21" s="1">
        <v>444</v>
      </c>
      <c r="L21" s="1">
        <v>70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7" x14ac:dyDescent="0.2">
      <c r="A22" s="1" t="s">
        <v>31</v>
      </c>
      <c r="B22" s="1">
        <v>21</v>
      </c>
      <c r="C22" s="1">
        <v>3311</v>
      </c>
      <c r="D22" s="1">
        <v>1.63</v>
      </c>
      <c r="E22" s="2">
        <v>0.26100000000000001</v>
      </c>
      <c r="F22" s="1">
        <v>81.900000000000006</v>
      </c>
      <c r="G22" s="1">
        <v>47.28</v>
      </c>
      <c r="H22" s="1">
        <v>1898</v>
      </c>
      <c r="I22" s="1">
        <v>7.12</v>
      </c>
      <c r="J22" s="8">
        <v>139</v>
      </c>
      <c r="K22" s="1">
        <v>420</v>
      </c>
      <c r="L22" s="1">
        <v>58.31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7" x14ac:dyDescent="0.2">
      <c r="A23" s="1" t="s">
        <v>32</v>
      </c>
      <c r="B23" s="1">
        <v>22</v>
      </c>
      <c r="C23" s="1">
        <v>2218</v>
      </c>
      <c r="D23" s="1">
        <v>0.15</v>
      </c>
      <c r="E23" s="2">
        <v>0.32100000000000001</v>
      </c>
      <c r="F23" s="1">
        <v>74.7</v>
      </c>
      <c r="G23" s="1">
        <v>69.489999999999995</v>
      </c>
      <c r="H23" s="1">
        <v>1832</v>
      </c>
      <c r="I23" s="1">
        <v>5.13</v>
      </c>
      <c r="J23" s="8">
        <v>419</v>
      </c>
      <c r="K23" s="1">
        <v>934</v>
      </c>
      <c r="L23" s="1">
        <v>16.97</v>
      </c>
      <c r="P23"/>
      <c r="Q23"/>
      <c r="R23"/>
      <c r="S23"/>
      <c r="T23"/>
      <c r="U23"/>
      <c r="V23"/>
      <c r="W23"/>
      <c r="X23"/>
      <c r="Y23"/>
      <c r="Z23"/>
      <c r="AA23"/>
    </row>
    <row r="24" spans="1:27" x14ac:dyDescent="0.2">
      <c r="A24" s="1" t="s">
        <v>33</v>
      </c>
      <c r="B24" s="1">
        <v>23</v>
      </c>
      <c r="C24" s="1">
        <v>3542</v>
      </c>
      <c r="D24" s="1">
        <v>0.16</v>
      </c>
      <c r="E24" s="2">
        <v>0.32</v>
      </c>
      <c r="F24" s="1">
        <v>70.7</v>
      </c>
      <c r="G24" s="1">
        <v>91.74</v>
      </c>
      <c r="I24" s="1">
        <v>4.1500000000000004</v>
      </c>
      <c r="J24" s="8">
        <v>323</v>
      </c>
      <c r="K24" s="1">
        <v>250</v>
      </c>
      <c r="L24" s="1">
        <v>23.25</v>
      </c>
      <c r="P24"/>
      <c r="Q24"/>
      <c r="R24"/>
      <c r="S24"/>
      <c r="T24"/>
      <c r="U24"/>
      <c r="V24"/>
      <c r="W24"/>
      <c r="X24"/>
      <c r="Y24"/>
      <c r="Z24"/>
      <c r="AA24"/>
    </row>
    <row r="25" spans="1:27" x14ac:dyDescent="0.2">
      <c r="A25" s="1" t="s">
        <v>34</v>
      </c>
      <c r="B25" s="1">
        <v>24</v>
      </c>
      <c r="C25" s="1">
        <v>1405</v>
      </c>
      <c r="D25" s="1">
        <v>0.56999999999999995</v>
      </c>
      <c r="E25" s="2">
        <v>6.2E-2</v>
      </c>
      <c r="F25" s="1">
        <v>75.400000000000006</v>
      </c>
      <c r="G25" s="1">
        <v>49.32</v>
      </c>
      <c r="I25" s="1">
        <v>5.12</v>
      </c>
      <c r="J25" s="8">
        <v>134</v>
      </c>
      <c r="K25" s="1">
        <v>717</v>
      </c>
      <c r="L25" s="1">
        <v>34.76</v>
      </c>
      <c r="P25"/>
      <c r="Q25"/>
      <c r="R25"/>
      <c r="S25"/>
      <c r="T25"/>
      <c r="U25"/>
      <c r="V25"/>
      <c r="W25"/>
      <c r="X25"/>
      <c r="Y25"/>
      <c r="Z25"/>
      <c r="AA25"/>
    </row>
    <row r="26" spans="1:27" x14ac:dyDescent="0.2">
      <c r="A26" s="1" t="s">
        <v>35</v>
      </c>
      <c r="B26" s="1">
        <v>25</v>
      </c>
      <c r="C26" s="1">
        <v>3254</v>
      </c>
      <c r="D26" s="1">
        <v>1.52</v>
      </c>
      <c r="E26" s="2">
        <v>0.36199999999999999</v>
      </c>
      <c r="F26" s="1">
        <v>78.8</v>
      </c>
      <c r="G26" s="1">
        <v>66.069999999999993</v>
      </c>
      <c r="H26" s="1">
        <v>1779</v>
      </c>
      <c r="I26" s="1">
        <v>6.94</v>
      </c>
      <c r="J26" s="8">
        <v>223</v>
      </c>
      <c r="K26" s="1">
        <v>1439</v>
      </c>
      <c r="L26" s="1">
        <v>32</v>
      </c>
      <c r="P26"/>
      <c r="Q26"/>
      <c r="R26"/>
      <c r="S26"/>
      <c r="T26"/>
      <c r="U26"/>
      <c r="V26"/>
      <c r="W26"/>
      <c r="X26"/>
      <c r="Y26"/>
      <c r="Z26"/>
      <c r="AA26"/>
    </row>
    <row r="27" spans="1:27" x14ac:dyDescent="0.2">
      <c r="A27" s="1" t="s">
        <v>36</v>
      </c>
      <c r="B27" s="1">
        <v>26</v>
      </c>
      <c r="C27" s="1">
        <v>2584</v>
      </c>
      <c r="D27" s="1">
        <v>0.15</v>
      </c>
      <c r="E27" s="2">
        <v>3.9E-2</v>
      </c>
      <c r="F27" s="1">
        <v>67.3</v>
      </c>
      <c r="G27" s="1">
        <v>82.84</v>
      </c>
      <c r="I27" s="1">
        <v>3.57</v>
      </c>
      <c r="J27" s="8">
        <v>187</v>
      </c>
      <c r="K27" s="1">
        <v>1183</v>
      </c>
      <c r="L27" s="1">
        <v>19.54</v>
      </c>
      <c r="P27"/>
      <c r="Q27"/>
      <c r="R27"/>
      <c r="S27"/>
      <c r="T27"/>
      <c r="U27"/>
      <c r="V27"/>
      <c r="W27"/>
      <c r="X27"/>
      <c r="Y27"/>
      <c r="Z27"/>
      <c r="AA27"/>
    </row>
    <row r="28" spans="1:27" ht="16" thickBot="1" x14ac:dyDescent="0.25">
      <c r="A28" s="1" t="s">
        <v>37</v>
      </c>
      <c r="B28" s="1">
        <v>27</v>
      </c>
      <c r="C28" s="1">
        <v>2634</v>
      </c>
      <c r="D28" s="1">
        <v>1.39</v>
      </c>
      <c r="E28" s="2">
        <v>0.36199999999999999</v>
      </c>
      <c r="F28" s="1">
        <v>78.8</v>
      </c>
      <c r="G28" s="1">
        <v>27.03</v>
      </c>
      <c r="H28" s="1">
        <v>1779</v>
      </c>
      <c r="I28" s="1">
        <v>6.94</v>
      </c>
      <c r="J28" s="8">
        <v>88</v>
      </c>
      <c r="K28" s="1">
        <v>588</v>
      </c>
      <c r="L28" s="1">
        <v>46.27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x14ac:dyDescent="0.2">
      <c r="A29" s="1" t="s">
        <v>38</v>
      </c>
      <c r="B29" s="1">
        <v>28</v>
      </c>
      <c r="C29" s="1">
        <v>1453</v>
      </c>
      <c r="D29" s="1">
        <v>1.4</v>
      </c>
      <c r="E29" s="2">
        <v>0.253</v>
      </c>
      <c r="F29" s="1">
        <v>80.5</v>
      </c>
      <c r="G29" s="1">
        <v>40.07</v>
      </c>
      <c r="H29" s="1">
        <v>1772</v>
      </c>
      <c r="I29" s="1">
        <v>7.09</v>
      </c>
      <c r="J29" s="8">
        <v>159</v>
      </c>
      <c r="K29" s="1">
        <v>659</v>
      </c>
      <c r="L29" s="1">
        <v>37.35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x14ac:dyDescent="0.2">
      <c r="A30" s="1" t="s">
        <v>39</v>
      </c>
      <c r="B30" s="1">
        <v>29</v>
      </c>
      <c r="C30" s="1">
        <v>1877</v>
      </c>
      <c r="D30" s="1">
        <v>0.76</v>
      </c>
      <c r="E30" s="2">
        <v>4.2999999999999997E-2</v>
      </c>
      <c r="F30" s="1">
        <v>83.2</v>
      </c>
      <c r="G30" s="1">
        <v>42.84</v>
      </c>
      <c r="H30" s="1">
        <v>1644</v>
      </c>
      <c r="I30" s="1">
        <v>5.87</v>
      </c>
      <c r="J30" s="8">
        <v>387</v>
      </c>
      <c r="K30" s="1">
        <v>5802</v>
      </c>
      <c r="L30" s="1">
        <v>70.819999999999993</v>
      </c>
      <c r="P30"/>
      <c r="Q30"/>
      <c r="R30"/>
      <c r="S30"/>
      <c r="T30"/>
      <c r="U30"/>
      <c r="V30"/>
      <c r="W30"/>
      <c r="X30"/>
      <c r="Y30"/>
      <c r="Z30"/>
      <c r="AA30"/>
    </row>
    <row r="31" spans="1:27" x14ac:dyDescent="0.2">
      <c r="A31" s="1" t="s">
        <v>40</v>
      </c>
      <c r="B31" s="1">
        <v>30</v>
      </c>
      <c r="C31" s="1">
        <v>2508</v>
      </c>
      <c r="D31" s="1">
        <v>1.2</v>
      </c>
      <c r="E31" s="2">
        <v>0.36199999999999999</v>
      </c>
      <c r="F31" s="1">
        <v>78.8</v>
      </c>
      <c r="G31" s="1">
        <v>43.33</v>
      </c>
      <c r="H31" s="1">
        <v>1779</v>
      </c>
      <c r="I31" s="1">
        <v>6.94</v>
      </c>
      <c r="J31" s="8">
        <v>171</v>
      </c>
      <c r="K31" s="1">
        <v>1320</v>
      </c>
      <c r="L31" s="1">
        <v>41.14</v>
      </c>
      <c r="P31"/>
      <c r="Q31"/>
      <c r="R31"/>
      <c r="S31"/>
      <c r="T31"/>
      <c r="U31"/>
      <c r="V31"/>
      <c r="W31"/>
      <c r="X31"/>
      <c r="Y31"/>
      <c r="Z31"/>
      <c r="AA31"/>
    </row>
    <row r="32" spans="1:27" x14ac:dyDescent="0.2">
      <c r="A32" s="1" t="s">
        <v>41</v>
      </c>
      <c r="B32" s="1">
        <v>31</v>
      </c>
      <c r="C32" s="1">
        <v>1836</v>
      </c>
      <c r="D32" s="1">
        <v>0.75</v>
      </c>
      <c r="E32" s="2">
        <v>6.2E-2</v>
      </c>
      <c r="F32" s="1">
        <v>75.400000000000006</v>
      </c>
      <c r="G32" s="1">
        <v>67.459999999999994</v>
      </c>
      <c r="I32" s="1">
        <v>5.51</v>
      </c>
      <c r="J32" s="8">
        <v>277</v>
      </c>
      <c r="K32" s="1">
        <v>1257</v>
      </c>
      <c r="L32" s="1">
        <v>57.95</v>
      </c>
      <c r="P32"/>
      <c r="Q32"/>
      <c r="R32"/>
      <c r="S32"/>
      <c r="T32"/>
      <c r="U32"/>
      <c r="V32"/>
      <c r="W32"/>
      <c r="X32"/>
      <c r="Y32"/>
      <c r="Z32"/>
      <c r="AA32"/>
    </row>
    <row r="33" spans="1:12" x14ac:dyDescent="0.2">
      <c r="A33" s="1" t="s">
        <v>42</v>
      </c>
      <c r="B33" s="1">
        <v>32</v>
      </c>
      <c r="C33" s="1">
        <v>1776</v>
      </c>
      <c r="D33" s="1">
        <v>0.28999999999999998</v>
      </c>
      <c r="E33" s="2">
        <v>6.2E-2</v>
      </c>
      <c r="F33" s="1">
        <v>75.400000000000006</v>
      </c>
      <c r="G33" s="1">
        <v>77.400000000000006</v>
      </c>
      <c r="I33" s="1">
        <v>5.12</v>
      </c>
      <c r="J33" s="8">
        <v>108</v>
      </c>
      <c r="K33" s="1">
        <v>346</v>
      </c>
      <c r="L33" s="1">
        <v>44.68</v>
      </c>
    </row>
    <row r="34" spans="1:12" x14ac:dyDescent="0.2">
      <c r="A34" s="1" t="s">
        <v>43</v>
      </c>
      <c r="B34" s="1">
        <v>33</v>
      </c>
      <c r="C34" s="1">
        <v>1546</v>
      </c>
      <c r="D34" s="1">
        <v>2.11</v>
      </c>
      <c r="E34" s="2">
        <v>0.221</v>
      </c>
      <c r="F34" s="1">
        <v>80.400000000000006</v>
      </c>
      <c r="G34" s="1">
        <v>62.67</v>
      </c>
      <c r="H34" s="1">
        <v>1583</v>
      </c>
      <c r="I34" s="1">
        <v>6.86</v>
      </c>
      <c r="J34" s="8">
        <v>55</v>
      </c>
      <c r="K34" s="1">
        <v>988</v>
      </c>
      <c r="L34" s="1">
        <v>25.34</v>
      </c>
    </row>
    <row r="35" spans="1:12" x14ac:dyDescent="0.2">
      <c r="A35" s="1" t="s">
        <v>44</v>
      </c>
      <c r="B35" s="1">
        <v>34</v>
      </c>
      <c r="C35" s="1">
        <v>3062</v>
      </c>
      <c r="D35" s="1">
        <v>1.6</v>
      </c>
      <c r="E35" s="2">
        <v>0.36199999999999999</v>
      </c>
      <c r="F35" s="1">
        <v>78.8</v>
      </c>
      <c r="G35" s="1">
        <v>47.36</v>
      </c>
      <c r="H35" s="1">
        <v>1779</v>
      </c>
      <c r="I35" s="1">
        <v>6.94</v>
      </c>
      <c r="J35" s="8">
        <v>242</v>
      </c>
      <c r="K35" s="1">
        <v>1031</v>
      </c>
      <c r="L35" s="1">
        <v>65.13</v>
      </c>
    </row>
    <row r="36" spans="1:12" s="5" customFormat="1" x14ac:dyDescent="0.2">
      <c r="A36" s="4" t="s">
        <v>45</v>
      </c>
      <c r="B36" s="5">
        <v>35</v>
      </c>
      <c r="C36" s="5">
        <v>1662</v>
      </c>
      <c r="D36" s="5">
        <v>1.95</v>
      </c>
      <c r="E36" s="6">
        <v>0.216</v>
      </c>
      <c r="F36" s="5">
        <v>81.8</v>
      </c>
      <c r="G36" s="5">
        <v>65.099999999999994</v>
      </c>
      <c r="H36" s="5">
        <v>1505</v>
      </c>
      <c r="I36" s="5">
        <v>6.66</v>
      </c>
      <c r="J36" s="9">
        <v>331</v>
      </c>
      <c r="K36" s="5">
        <v>4363</v>
      </c>
      <c r="L36" s="5">
        <v>35.93</v>
      </c>
    </row>
    <row r="37" spans="1:12" x14ac:dyDescent="0.2">
      <c r="A37" s="1" t="s">
        <v>46</v>
      </c>
      <c r="B37" s="1">
        <v>36</v>
      </c>
      <c r="C37" s="1">
        <v>2003</v>
      </c>
      <c r="D37" s="1">
        <v>0.44</v>
      </c>
      <c r="E37" s="2">
        <v>0.221</v>
      </c>
      <c r="F37" s="1">
        <v>73.900000000000006</v>
      </c>
      <c r="G37" s="1">
        <v>79.78</v>
      </c>
      <c r="I37" s="1">
        <v>6.37</v>
      </c>
      <c r="J37" s="8">
        <v>158</v>
      </c>
      <c r="K37" s="1">
        <v>3355</v>
      </c>
      <c r="L37" s="1">
        <v>16.07</v>
      </c>
    </row>
    <row r="38" spans="1:12" x14ac:dyDescent="0.2">
      <c r="A38" s="1" t="s">
        <v>47</v>
      </c>
      <c r="B38" s="1">
        <v>37</v>
      </c>
      <c r="C38" s="1">
        <v>1566</v>
      </c>
      <c r="D38" s="1">
        <v>3.2</v>
      </c>
      <c r="E38" s="2">
        <v>0.19500000000000001</v>
      </c>
      <c r="F38" s="1">
        <v>82.6</v>
      </c>
      <c r="G38" s="1">
        <v>17.309999999999999</v>
      </c>
      <c r="H38" s="1">
        <v>1557</v>
      </c>
      <c r="I38" s="1">
        <v>7.56</v>
      </c>
      <c r="J38" s="8">
        <v>69</v>
      </c>
      <c r="K38" s="1">
        <v>538</v>
      </c>
      <c r="L38" s="1">
        <v>73.11</v>
      </c>
    </row>
    <row r="39" spans="1:12" x14ac:dyDescent="0.2">
      <c r="A39" s="1" t="s">
        <v>48</v>
      </c>
      <c r="B39" s="1">
        <v>38</v>
      </c>
      <c r="C39" s="1">
        <v>1633</v>
      </c>
      <c r="D39" s="1">
        <v>1.1599999999999999</v>
      </c>
      <c r="E39" s="2">
        <v>0.27800000000000002</v>
      </c>
      <c r="F39" s="1">
        <v>80.400000000000006</v>
      </c>
      <c r="G39" s="1">
        <v>58.91</v>
      </c>
      <c r="H39" s="1">
        <v>1538</v>
      </c>
      <c r="I39" s="1">
        <v>7.16</v>
      </c>
      <c r="J39" s="8">
        <v>433</v>
      </c>
      <c r="K39" s="1">
        <v>6417</v>
      </c>
      <c r="L39" s="1">
        <v>42.71</v>
      </c>
    </row>
    <row r="40" spans="1:12" x14ac:dyDescent="0.2">
      <c r="A40" s="1" t="s">
        <v>49</v>
      </c>
      <c r="B40" s="1">
        <v>39</v>
      </c>
      <c r="C40" s="1">
        <v>3124</v>
      </c>
      <c r="D40" s="1">
        <v>0.59</v>
      </c>
      <c r="E40" s="2">
        <v>0.28299999999999997</v>
      </c>
      <c r="F40" s="1">
        <v>56.3</v>
      </c>
      <c r="G40" s="1">
        <v>61.83</v>
      </c>
      <c r="I40" s="1">
        <v>4.8099999999999996</v>
      </c>
      <c r="J40" s="8">
        <v>194</v>
      </c>
      <c r="K40" s="1">
        <v>492</v>
      </c>
      <c r="L40" s="1">
        <v>24.28</v>
      </c>
    </row>
    <row r="41" spans="1:12" x14ac:dyDescent="0.2">
      <c r="A41" s="1" t="s">
        <v>50</v>
      </c>
      <c r="B41" s="1">
        <v>40</v>
      </c>
      <c r="C41" s="1">
        <v>1915</v>
      </c>
      <c r="D41" s="1">
        <v>1.1499999999999999</v>
      </c>
      <c r="E41" s="2">
        <v>0.19900000000000001</v>
      </c>
      <c r="F41" s="1">
        <v>82.7</v>
      </c>
      <c r="G41" s="1">
        <v>67.19</v>
      </c>
      <c r="H41" s="1">
        <v>1718</v>
      </c>
      <c r="I41" s="1">
        <v>6.38</v>
      </c>
      <c r="J41" s="8">
        <v>110</v>
      </c>
      <c r="K41" s="1">
        <v>2396</v>
      </c>
      <c r="L41" s="1">
        <v>53.49</v>
      </c>
    </row>
    <row r="42" spans="1:12" x14ac:dyDescent="0.2">
      <c r="A42" s="1" t="s">
        <v>51</v>
      </c>
      <c r="B42" s="1">
        <v>41</v>
      </c>
      <c r="C42" s="1">
        <v>2528</v>
      </c>
      <c r="D42" s="1">
        <v>1.45</v>
      </c>
      <c r="E42" s="2">
        <v>0.36199999999999999</v>
      </c>
      <c r="F42" s="1">
        <v>78.8</v>
      </c>
      <c r="G42" s="1">
        <v>39.18</v>
      </c>
      <c r="H42" s="1">
        <v>1779</v>
      </c>
      <c r="I42" s="1">
        <v>6.94</v>
      </c>
      <c r="J42" s="8">
        <v>83</v>
      </c>
      <c r="K42" s="1">
        <v>744</v>
      </c>
      <c r="L42" s="1">
        <v>65.989999999999995</v>
      </c>
    </row>
    <row r="43" spans="1:12" x14ac:dyDescent="0.2">
      <c r="A43" s="1" t="s">
        <v>52</v>
      </c>
      <c r="B43" s="1">
        <v>42</v>
      </c>
      <c r="C43" s="1">
        <v>2535</v>
      </c>
      <c r="D43" s="1">
        <v>1.32</v>
      </c>
      <c r="E43" s="2">
        <v>0.36199999999999999</v>
      </c>
      <c r="F43" s="1">
        <v>78.8</v>
      </c>
      <c r="G43" s="1">
        <v>57.36</v>
      </c>
      <c r="H43" s="1">
        <v>1779</v>
      </c>
      <c r="I43" s="1">
        <v>6.94</v>
      </c>
      <c r="J43" s="8">
        <v>359</v>
      </c>
      <c r="K43" s="1">
        <v>3081</v>
      </c>
      <c r="L43" s="1">
        <v>64.66</v>
      </c>
    </row>
    <row r="44" spans="1:12" x14ac:dyDescent="0.2">
      <c r="A44" s="1" t="s">
        <v>53</v>
      </c>
      <c r="B44" s="1">
        <v>43</v>
      </c>
      <c r="C44" s="1">
        <v>1901</v>
      </c>
      <c r="D44" s="1">
        <v>0.41</v>
      </c>
      <c r="E44" s="2">
        <v>0.23100000000000001</v>
      </c>
      <c r="F44" s="1">
        <v>69.5</v>
      </c>
      <c r="G44" s="1">
        <v>57.63</v>
      </c>
      <c r="H44" s="1">
        <v>1965</v>
      </c>
      <c r="I44" s="1">
        <v>5.54</v>
      </c>
      <c r="J44" s="8">
        <v>322</v>
      </c>
      <c r="K44" s="1">
        <v>3206</v>
      </c>
      <c r="L44" s="1">
        <v>31.4</v>
      </c>
    </row>
    <row r="45" spans="1:12" x14ac:dyDescent="0.2">
      <c r="A45" s="1" t="s">
        <v>54</v>
      </c>
      <c r="B45" s="1">
        <v>44</v>
      </c>
      <c r="C45" s="1">
        <v>2555</v>
      </c>
      <c r="D45" s="1">
        <v>0.45</v>
      </c>
      <c r="E45" s="2">
        <v>0.28899999999999998</v>
      </c>
      <c r="F45" s="1">
        <v>76.400000000000006</v>
      </c>
      <c r="G45" s="1">
        <v>82.78</v>
      </c>
      <c r="H45" s="1">
        <v>2137</v>
      </c>
      <c r="I45" s="1">
        <v>6.46</v>
      </c>
      <c r="J45" s="8">
        <v>192</v>
      </c>
      <c r="K45" s="1">
        <v>1313</v>
      </c>
      <c r="L45" s="1">
        <v>41.99</v>
      </c>
    </row>
    <row r="46" spans="1:12" x14ac:dyDescent="0.2">
      <c r="A46" s="10" t="s">
        <v>57</v>
      </c>
      <c r="B46" s="10"/>
      <c r="C46" s="11">
        <f>AVERAGE(C2:C45)</f>
        <v>2245.8604651162791</v>
      </c>
      <c r="D46" s="11">
        <f t="shared" ref="D46:L46" si="1">AVERAGE(D2:D45)</f>
        <v>1.1734090909090911</v>
      </c>
      <c r="E46" s="12">
        <f t="shared" si="1"/>
        <v>0.21925</v>
      </c>
      <c r="F46" s="11">
        <f t="shared" si="1"/>
        <v>78.17500000000004</v>
      </c>
      <c r="G46" s="11">
        <f t="shared" si="1"/>
        <v>51.122325581395344</v>
      </c>
      <c r="H46" s="11">
        <f t="shared" si="1"/>
        <v>1672.909090909091</v>
      </c>
      <c r="I46" s="11">
        <f t="shared" si="1"/>
        <v>6.4350000000000014</v>
      </c>
      <c r="J46" s="11">
        <f t="shared" si="1"/>
        <v>213.97727272727272</v>
      </c>
      <c r="K46" s="11">
        <f t="shared" si="1"/>
        <v>1443.1136363636363</v>
      </c>
      <c r="L46" s="11">
        <f t="shared" si="1"/>
        <v>40.420000000000009</v>
      </c>
    </row>
    <row r="47" spans="1:12" x14ac:dyDescent="0.2">
      <c r="A47" s="1" t="s">
        <v>56</v>
      </c>
      <c r="C47" s="1">
        <v>2066</v>
      </c>
      <c r="D47" s="1">
        <v>1.1949999999999998</v>
      </c>
      <c r="E47" s="1">
        <v>0.223</v>
      </c>
      <c r="F47" s="1">
        <v>80.400000000000006</v>
      </c>
      <c r="G47" s="1">
        <v>52.64</v>
      </c>
      <c r="H47" s="1">
        <v>1686</v>
      </c>
      <c r="I47" s="1">
        <v>6.9</v>
      </c>
      <c r="J47" s="1">
        <v>189.5</v>
      </c>
      <c r="K47" s="1">
        <v>998</v>
      </c>
      <c r="L47" s="1">
        <v>37.33</v>
      </c>
    </row>
    <row r="48" spans="1:12" x14ac:dyDescent="0.2">
      <c r="A48" s="1" t="s">
        <v>58</v>
      </c>
      <c r="C48" s="1">
        <v>1405</v>
      </c>
      <c r="D48" s="1">
        <v>0.15</v>
      </c>
      <c r="E48" s="1">
        <v>3.9E-2</v>
      </c>
      <c r="F48" s="1">
        <v>56.3</v>
      </c>
      <c r="G48" s="1">
        <v>13.08</v>
      </c>
      <c r="H48" s="1">
        <v>1380</v>
      </c>
      <c r="I48" s="1">
        <v>3.57</v>
      </c>
      <c r="J48" s="1">
        <v>23</v>
      </c>
      <c r="K48" s="1">
        <v>250</v>
      </c>
      <c r="L48" s="1">
        <v>16.07</v>
      </c>
    </row>
    <row r="49" spans="1:12" x14ac:dyDescent="0.2">
      <c r="A49" s="1" t="s">
        <v>59</v>
      </c>
      <c r="C49" s="1">
        <v>3542</v>
      </c>
      <c r="D49" s="1">
        <v>3.2</v>
      </c>
      <c r="E49" s="1">
        <v>0.36199999999999999</v>
      </c>
      <c r="F49" s="1">
        <v>83.2</v>
      </c>
      <c r="G49" s="1">
        <v>91.74</v>
      </c>
      <c r="H49" s="1">
        <v>2137</v>
      </c>
      <c r="I49" s="1">
        <v>7.8</v>
      </c>
      <c r="J49" s="1">
        <v>585</v>
      </c>
      <c r="K49" s="1">
        <v>6417</v>
      </c>
      <c r="L49" s="1">
        <v>73.11</v>
      </c>
    </row>
  </sheetData>
  <mergeCells count="1">
    <mergeCell ref="P1:V1"/>
  </mergeCells>
  <conditionalFormatting sqref="V3:V12">
    <cfRule type="iconSet" priority="1">
      <iconSet iconSet="3Arrows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  <headerFooter>
    <oddFooter>&amp;L_x000D_&amp;1#&amp;"Aptos"&amp;10&amp;K000000 Document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 Mesurier</dc:creator>
  <cp:lastModifiedBy>Yasin Topal</cp:lastModifiedBy>
  <dcterms:created xsi:type="dcterms:W3CDTF">2025-08-22T01:43:58Z</dcterms:created>
  <dcterms:modified xsi:type="dcterms:W3CDTF">2026-07-30T14:18:24Z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dc4f29-3837-4eef-b619-fc8a0ccc3b2c_Enabled">
    <vt:lpwstr>true</vt:lpwstr>
  </property>
  <property fmtid="{D5CDD505-2E9C-101B-9397-08002B2CF9AE}" pid="3" name="MSIP_Label_14dc4f29-3837-4eef-b619-fc8a0ccc3b2c_SetDate">
    <vt:lpwstr>2025-12-24T05:49:34Z</vt:lpwstr>
  </property>
  <property fmtid="{D5CDD505-2E9C-101B-9397-08002B2CF9AE}" pid="4" name="MSIP_Label_14dc4f29-3837-4eef-b619-fc8a0ccc3b2c_Method">
    <vt:lpwstr>Privileged</vt:lpwstr>
  </property>
  <property fmtid="{D5CDD505-2E9C-101B-9397-08002B2CF9AE}" pid="5" name="MSIP_Label_14dc4f29-3837-4eef-b619-fc8a0ccc3b2c_Name">
    <vt:lpwstr>KANZ Public</vt:lpwstr>
  </property>
  <property fmtid="{D5CDD505-2E9C-101B-9397-08002B2CF9AE}" pid="6" name="MSIP_Label_14dc4f29-3837-4eef-b619-fc8a0ccc3b2c_SiteId">
    <vt:lpwstr>057daf85-b1d5-44cd-ab7b-0a4ce1b29eae</vt:lpwstr>
  </property>
  <property fmtid="{D5CDD505-2E9C-101B-9397-08002B2CF9AE}" pid="7" name="MSIP_Label_14dc4f29-3837-4eef-b619-fc8a0ccc3b2c_ActionId">
    <vt:lpwstr>94133002-9243-47fe-a1de-bd06ff284ea6</vt:lpwstr>
  </property>
  <property fmtid="{D5CDD505-2E9C-101B-9397-08002B2CF9AE}" pid="8" name="MSIP_Label_14dc4f29-3837-4eef-b619-fc8a0ccc3b2c_ContentBits">
    <vt:lpwstr>2</vt:lpwstr>
  </property>
  <property fmtid="{D5CDD505-2E9C-101B-9397-08002B2CF9AE}" pid="9" name="MSIP_Label_14dc4f29-3837-4eef-b619-fc8a0ccc3b2c_Tag">
    <vt:lpwstr>10, 0, 1, 1</vt:lpwstr>
  </property>
</Properties>
</file>